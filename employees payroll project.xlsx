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https://d.docs.live.net/18558591FB4DC043/Desktop/"/>
    </mc:Choice>
  </mc:AlternateContent>
  <xr:revisionPtr revIDLastSave="2" documentId="8_{BBB41961-910B-4A3E-BD60-63ED36B73CDA}" xr6:coauthVersionLast="47" xr6:coauthVersionMax="47" xr10:uidLastSave="{C4DC63FF-2836-4102-AB57-834A25FBC9FC}"/>
  <bookViews>
    <workbookView xWindow="-120" yWindow="-120" windowWidth="20730" windowHeight="11160" activeTab="1" xr2:uid="{00000000-000D-0000-FFFF-FFFF00000000}"/>
  </bookViews>
  <sheets>
    <sheet name="employee_master" sheetId="1" r:id="rId1"/>
    <sheet name="Attendance" sheetId="2" r:id="rId2"/>
    <sheet name="payroll" sheetId="3" r:id="rId3"/>
    <sheet name="Dashboard" sheetId="4" r:id="rId4"/>
  </sheets>
  <definedNames>
    <definedName name="Slicer_net_salary">#N/A</definedName>
  </definedNames>
  <calcPr calcId="191029"/>
  <pivotCaches>
    <pivotCache cacheId="1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4" l="1"/>
  <c r="B3" i="4"/>
  <c r="C3" i="3"/>
  <c r="C4" i="3"/>
  <c r="C5" i="3"/>
  <c r="C6" i="3"/>
  <c r="C7" i="3"/>
  <c r="C8" i="3"/>
  <c r="C9" i="3"/>
  <c r="C10" i="3"/>
  <c r="C11" i="3"/>
  <c r="C12" i="3"/>
  <c r="C13" i="3"/>
  <c r="C14" i="3"/>
  <c r="C15" i="3"/>
  <c r="C16" i="3"/>
  <c r="C2" i="3"/>
  <c r="G3" i="3"/>
  <c r="G4" i="3"/>
  <c r="G5" i="3"/>
  <c r="G6" i="3"/>
  <c r="G7" i="3"/>
  <c r="G8" i="3"/>
  <c r="G9" i="3"/>
  <c r="G10" i="3"/>
  <c r="G11" i="3"/>
  <c r="G12" i="3"/>
  <c r="G13" i="3"/>
  <c r="G14" i="3"/>
  <c r="G15" i="3"/>
  <c r="G16" i="3"/>
  <c r="G2" i="3"/>
  <c r="D3" i="3"/>
  <c r="F3" i="3" s="1"/>
  <c r="D4" i="3"/>
  <c r="E4" i="3" s="1"/>
  <c r="D5" i="3"/>
  <c r="E5" i="3" s="1"/>
  <c r="D6" i="3"/>
  <c r="E6" i="3" s="1"/>
  <c r="D7" i="3"/>
  <c r="F7" i="3" s="1"/>
  <c r="D8" i="3"/>
  <c r="E8" i="3" s="1"/>
  <c r="D9" i="3"/>
  <c r="E9" i="3" s="1"/>
  <c r="D10" i="3"/>
  <c r="E10" i="3" s="1"/>
  <c r="D11" i="3"/>
  <c r="F11" i="3" s="1"/>
  <c r="D12" i="3"/>
  <c r="E12" i="3" s="1"/>
  <c r="D13" i="3"/>
  <c r="E13" i="3" s="1"/>
  <c r="D14" i="3"/>
  <c r="E14" i="3" s="1"/>
  <c r="D15" i="3"/>
  <c r="F15" i="3" s="1"/>
  <c r="D16" i="3"/>
  <c r="E16" i="3" s="1"/>
  <c r="D2" i="3"/>
  <c r="H2" i="3" s="1"/>
  <c r="B3" i="3"/>
  <c r="B4" i="3"/>
  <c r="B5" i="3"/>
  <c r="B6" i="3"/>
  <c r="B7" i="3"/>
  <c r="B8" i="3"/>
  <c r="B9" i="3"/>
  <c r="B10" i="3"/>
  <c r="B11" i="3"/>
  <c r="B12" i="3"/>
  <c r="B13" i="3"/>
  <c r="B14" i="3"/>
  <c r="B15" i="3"/>
  <c r="B16" i="3"/>
  <c r="B2" i="3"/>
  <c r="E3" i="2"/>
  <c r="E4" i="2"/>
  <c r="E5" i="2"/>
  <c r="E6" i="2"/>
  <c r="E7" i="2"/>
  <c r="E8" i="2"/>
  <c r="E9" i="2"/>
  <c r="E10" i="2"/>
  <c r="E11" i="2"/>
  <c r="E12" i="2"/>
  <c r="E13" i="2"/>
  <c r="E14" i="2"/>
  <c r="E15" i="2"/>
  <c r="E16" i="2"/>
  <c r="E2" i="2"/>
  <c r="B3" i="2"/>
  <c r="B4" i="2"/>
  <c r="B5" i="2"/>
  <c r="B6" i="2"/>
  <c r="B7" i="2"/>
  <c r="B8" i="2"/>
  <c r="B9" i="2"/>
  <c r="B10" i="2"/>
  <c r="B11" i="2"/>
  <c r="B12" i="2"/>
  <c r="B13" i="2"/>
  <c r="B14" i="2"/>
  <c r="B15" i="2"/>
  <c r="B16" i="2"/>
  <c r="F6" i="3" l="1"/>
  <c r="I15" i="3"/>
  <c r="I7" i="3"/>
  <c r="I14" i="3"/>
  <c r="I6" i="3"/>
  <c r="I11" i="3"/>
  <c r="I3" i="3"/>
  <c r="E7" i="3"/>
  <c r="J7" i="3" s="1"/>
  <c r="I10" i="3"/>
  <c r="H16" i="3"/>
  <c r="H8" i="3"/>
  <c r="E3" i="3"/>
  <c r="H11" i="3"/>
  <c r="H7" i="3"/>
  <c r="E15" i="3"/>
  <c r="J15" i="3" s="1"/>
  <c r="F14" i="3"/>
  <c r="H14" i="3"/>
  <c r="H10" i="3"/>
  <c r="H6" i="3"/>
  <c r="J6" i="3" s="1"/>
  <c r="I2" i="3"/>
  <c r="I13" i="3"/>
  <c r="I9" i="3"/>
  <c r="I5" i="3"/>
  <c r="H12" i="3"/>
  <c r="H4" i="3"/>
  <c r="H15" i="3"/>
  <c r="H3" i="3"/>
  <c r="E11" i="3"/>
  <c r="J11" i="3" s="1"/>
  <c r="F10" i="3"/>
  <c r="J10" i="3" s="1"/>
  <c r="H13" i="3"/>
  <c r="H9" i="3"/>
  <c r="H5" i="3"/>
  <c r="I16" i="3"/>
  <c r="I12" i="3"/>
  <c r="I8" i="3"/>
  <c r="I4" i="3"/>
  <c r="F2" i="3"/>
  <c r="F13" i="3"/>
  <c r="F9" i="3"/>
  <c r="J9" i="3" s="1"/>
  <c r="F5" i="3"/>
  <c r="E2" i="3"/>
  <c r="F16" i="3"/>
  <c r="J16" i="3" s="1"/>
  <c r="F12" i="3"/>
  <c r="J12" i="3" s="1"/>
  <c r="F8" i="3"/>
  <c r="F4" i="3"/>
  <c r="J3" i="3" l="1"/>
  <c r="J4" i="3"/>
  <c r="J2" i="3"/>
  <c r="J8" i="3"/>
  <c r="J13" i="3"/>
  <c r="J5" i="3"/>
  <c r="J14" i="3"/>
  <c r="B5" i="4"/>
  <c r="B4" i="4" l="1"/>
</calcChain>
</file>

<file path=xl/sharedStrings.xml><?xml version="1.0" encoding="utf-8"?>
<sst xmlns="http://schemas.openxmlformats.org/spreadsheetml/2006/main" count="153" uniqueCount="104">
  <si>
    <t xml:space="preserve">employee ID </t>
  </si>
  <si>
    <t xml:space="preserve">Employee Name </t>
  </si>
  <si>
    <t>department</t>
  </si>
  <si>
    <t>designantion</t>
  </si>
  <si>
    <t xml:space="preserve">joining date </t>
  </si>
  <si>
    <t xml:space="preserve">bank account </t>
  </si>
  <si>
    <t xml:space="preserve">pan number </t>
  </si>
  <si>
    <t>EMP001</t>
  </si>
  <si>
    <t>EMP002</t>
  </si>
  <si>
    <t>EMP003</t>
  </si>
  <si>
    <t>EMP004</t>
  </si>
  <si>
    <t>EMP005</t>
  </si>
  <si>
    <t>EMP006</t>
  </si>
  <si>
    <t>EMP007</t>
  </si>
  <si>
    <t>EMP008</t>
  </si>
  <si>
    <t>EMP009</t>
  </si>
  <si>
    <t>EMP010</t>
  </si>
  <si>
    <t>EMP011</t>
  </si>
  <si>
    <t>EMP012</t>
  </si>
  <si>
    <t>EMP013</t>
  </si>
  <si>
    <t>EMP014</t>
  </si>
  <si>
    <t>EMP015</t>
  </si>
  <si>
    <t>RAJIV</t>
  </si>
  <si>
    <t>NAGA</t>
  </si>
  <si>
    <t>WASIF</t>
  </si>
  <si>
    <t>RAJA</t>
  </si>
  <si>
    <t>RAVI NAVI</t>
  </si>
  <si>
    <t>SHREE</t>
  </si>
  <si>
    <t>KALESH</t>
  </si>
  <si>
    <t>KHAANI</t>
  </si>
  <si>
    <t>MEDHA</t>
  </si>
  <si>
    <t>SHRIBA</t>
  </si>
  <si>
    <t>SHRIVANI</t>
  </si>
  <si>
    <t>RAANI</t>
  </si>
  <si>
    <t xml:space="preserve">VEENA </t>
  </si>
  <si>
    <t>KAALI</t>
  </si>
  <si>
    <t>MAYUR</t>
  </si>
  <si>
    <t>Human Resources (HR)</t>
  </si>
  <si>
    <t>Finance &amp; Accounting</t>
  </si>
  <si>
    <t>Information Technology (IT)</t>
  </si>
  <si>
    <t xml:space="preserve"> Sales</t>
  </si>
  <si>
    <t xml:space="preserve"> Marketing</t>
  </si>
  <si>
    <t xml:space="preserve"> Operations</t>
  </si>
  <si>
    <t>Customer Support</t>
  </si>
  <si>
    <t xml:space="preserve"> Research &amp; Development (R&amp;D)</t>
  </si>
  <si>
    <t xml:space="preserve"> Legal &amp; Compliance</t>
  </si>
  <si>
    <t>Supply Chain &amp; Logistics</t>
  </si>
  <si>
    <t>Product Management</t>
  </si>
  <si>
    <t>Quality Assurance (QA)</t>
  </si>
  <si>
    <t xml:space="preserve"> Public Relations (PR)</t>
  </si>
  <si>
    <t xml:space="preserve"> Business Development</t>
  </si>
  <si>
    <t>Administration / Facilities</t>
  </si>
  <si>
    <t>Chief Executive Officer (CEO)</t>
  </si>
  <si>
    <t>Human Resources Manager</t>
  </si>
  <si>
    <t>Software Engineer</t>
  </si>
  <si>
    <t>Financial Analyst</t>
  </si>
  <si>
    <t>Marketing Coordinator</t>
  </si>
  <si>
    <t xml:space="preserve"> Operations Director</t>
  </si>
  <si>
    <t>Project Manager</t>
  </si>
  <si>
    <t xml:space="preserve"> Data Scientist</t>
  </si>
  <si>
    <t>Sales Representative</t>
  </si>
  <si>
    <t>Product Designer</t>
  </si>
  <si>
    <t xml:space="preserve"> Customer Success Specialist</t>
  </si>
  <si>
    <t xml:space="preserve"> Systems Administrator</t>
  </si>
  <si>
    <t xml:space="preserve"> Content Strategist</t>
  </si>
  <si>
    <t xml:space="preserve"> Legal Counsel</t>
  </si>
  <si>
    <t xml:space="preserve"> Business Development Executive</t>
  </si>
  <si>
    <t>basic salary</t>
  </si>
  <si>
    <t>ABCDE1234F</t>
  </si>
  <si>
    <t>FGHIJ5678K</t>
  </si>
  <si>
    <t>LMNOP9012Q</t>
  </si>
  <si>
    <t>RSTUV3456W</t>
  </si>
  <si>
    <t>XYZAB7890C</t>
  </si>
  <si>
    <t>DEFGH2345I</t>
  </si>
  <si>
    <t>JKLMN6789O</t>
  </si>
  <si>
    <t>PQRST0123U</t>
  </si>
  <si>
    <t>VWXYZ4567A</t>
  </si>
  <si>
    <t>BCDEF8901G</t>
  </si>
  <si>
    <t>HIJKL2345M</t>
  </si>
  <si>
    <t>NOPQR6789S</t>
  </si>
  <si>
    <t>TUVWX0123Y</t>
  </si>
  <si>
    <t>ZABCD4567E</t>
  </si>
  <si>
    <t>FGHIJ8901K</t>
  </si>
  <si>
    <t>employee id</t>
  </si>
  <si>
    <t>employee name</t>
  </si>
  <si>
    <t>total working days</t>
  </si>
  <si>
    <t>present days</t>
  </si>
  <si>
    <t>leave days</t>
  </si>
  <si>
    <t>overtime hours</t>
  </si>
  <si>
    <t xml:space="preserve">employee name </t>
  </si>
  <si>
    <t xml:space="preserve">HRA </t>
  </si>
  <si>
    <t>bonus</t>
  </si>
  <si>
    <t>over time pay</t>
  </si>
  <si>
    <t>PF deductions</t>
  </si>
  <si>
    <t>tax deductions</t>
  </si>
  <si>
    <t>net salary</t>
  </si>
  <si>
    <t>Total Employees</t>
  </si>
  <si>
    <t>Total Payroll Expense</t>
  </si>
  <si>
    <t>Average Salary</t>
  </si>
  <si>
    <t>Highest Salary</t>
  </si>
  <si>
    <t>Row Labels</t>
  </si>
  <si>
    <t>Grand Total</t>
  </si>
  <si>
    <t>Sum of net salary</t>
  </si>
  <si>
    <t>EMPLOYEE PAYROLL MANGEMENT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</si>
</sst>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1" formatCode="[$INR]\ #,##0.00"/>
    <numFmt numFmtId="172" formatCode="_([$INR]\ * #,##0.00_);_([$INR]\ * \(#,##0.00\);_([$INR]\ * &quot;-&quot;??_);_(@_)"/>
  </numFmts>
  <fonts count="7" x14ac:knownFonts="1">
    <font>
      <sz val="11"/>
      <color theme="1"/>
      <name val="Calibri"/>
      <family val="2"/>
      <scheme val="minor"/>
    </font>
    <font>
      <sz val="8"/>
      <name val="Calibri"/>
      <family val="2"/>
      <scheme val="minor"/>
    </font>
    <font>
      <sz val="13.5"/>
      <color theme="1"/>
      <name val="Calibri"/>
      <family val="2"/>
      <scheme val="minor"/>
    </font>
    <font>
      <sz val="11"/>
      <color rgb="FF1F1F1F"/>
      <name val="Arial"/>
      <family val="2"/>
    </font>
    <font>
      <b/>
      <sz val="11"/>
      <color theme="1"/>
      <name val="Calibri"/>
      <family val="2"/>
      <scheme val="minor"/>
    </font>
    <font>
      <b/>
      <sz val="24"/>
      <color theme="7" tint="-0.499984740745262"/>
      <name val="Calibri"/>
      <family val="2"/>
      <scheme val="minor"/>
    </font>
    <font>
      <b/>
      <sz val="11"/>
      <color theme="5" tint="-0.249977111117893"/>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vertical="center"/>
    </xf>
    <xf numFmtId="0" fontId="0" fillId="2" borderId="0" xfId="0" applyFill="1"/>
    <xf numFmtId="15" fontId="3" fillId="0" borderId="0" xfId="0" applyNumberFormat="1" applyFont="1" applyAlignment="1">
      <alignment vertical="center" wrapText="1" readingOrder="1"/>
    </xf>
    <xf numFmtId="0" fontId="3" fillId="0" borderId="0" xfId="0" applyFont="1" applyAlignment="1">
      <alignment vertical="center" wrapText="1" readingOrder="1"/>
    </xf>
    <xf numFmtId="171" fontId="0" fillId="0" borderId="0" xfId="0" applyNumberFormat="1"/>
    <xf numFmtId="172" fontId="3" fillId="0" borderId="0" xfId="0" applyNumberFormat="1" applyFont="1" applyAlignment="1">
      <alignment vertical="center" wrapText="1" readingOrder="1"/>
    </xf>
    <xf numFmtId="0" fontId="0" fillId="0" borderId="0" xfId="0" applyAlignment="1">
      <alignment horizontal="left"/>
    </xf>
    <xf numFmtId="0" fontId="5" fillId="2" borderId="0" xfId="0" applyFont="1" applyFill="1" applyAlignment="1">
      <alignment horizontal="center" vertical="center" wrapText="1"/>
    </xf>
    <xf numFmtId="0" fontId="4" fillId="2" borderId="0" xfId="0" applyFont="1" applyFill="1" applyAlignment="1">
      <alignment horizontal="center" vertical="center" wrapText="1"/>
    </xf>
    <xf numFmtId="0" fontId="6" fillId="0" borderId="0" xfId="0" applyFont="1" applyAlignment="1">
      <alignment vertical="center" wrapText="1"/>
    </xf>
    <xf numFmtId="0" fontId="6" fillId="0" borderId="0" xfId="0" applyFont="1"/>
  </cellXfs>
  <cellStyles count="1">
    <cellStyle name="Normal" xfId="0" builtinId="0"/>
  </cellStyles>
  <dxfs count="32">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payroll project.xlsx]Dashboard!PivotTable4</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DEPARTMENT</a:t>
            </a:r>
            <a:r>
              <a:rPr lang="en-US" b="1" baseline="0">
                <a:solidFill>
                  <a:srgbClr val="002060"/>
                </a:solidFill>
              </a:rPr>
              <a:t> WISE SALRY EXPENSE</a:t>
            </a:r>
            <a:endParaRPr lang="en-US" b="1">
              <a:solidFill>
                <a:srgbClr val="002060"/>
              </a:solidFill>
            </a:endParaRPr>
          </a:p>
        </c:rich>
      </c:tx>
      <c:layout>
        <c:manualLayout>
          <c:xMode val="edge"/>
          <c:yMode val="edge"/>
          <c:x val="0.32861111111111119"/>
          <c:y val="0.11934966462525518"/>
        </c:manualLayout>
      </c:layout>
      <c:overlay val="0"/>
      <c:spPr>
        <a:solidFill>
          <a:schemeClr val="accent2">
            <a:lumMod val="75000"/>
          </a:schemeClr>
        </a:solid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Dashboard!$I$3</c:f>
              <c:strCache>
                <c:ptCount val="1"/>
                <c:pt idx="0">
                  <c:v>Total</c:v>
                </c:pt>
              </c:strCache>
            </c:strRef>
          </c:tx>
          <c:spPr>
            <a:solidFill>
              <a:schemeClr val="accent2">
                <a:lumMod val="75000"/>
              </a:schemeClr>
            </a:solidFill>
            <a:ln>
              <a:noFill/>
            </a:ln>
            <a:effectLst/>
          </c:spPr>
          <c:invertIfNegative val="0"/>
          <c:cat>
            <c:strRef>
              <c:f>Dashboard!$H$4:$H$19</c:f>
              <c:strCache>
                <c:ptCount val="15"/>
                <c:pt idx="0">
                  <c:v> Business Development</c:v>
                </c:pt>
                <c:pt idx="1">
                  <c:v> Legal &amp; Compliance</c:v>
                </c:pt>
                <c:pt idx="2">
                  <c:v> Marketing</c:v>
                </c:pt>
                <c:pt idx="3">
                  <c:v> Operations</c:v>
                </c:pt>
                <c:pt idx="4">
                  <c:v> Public Relations (PR)</c:v>
                </c:pt>
                <c:pt idx="5">
                  <c:v> Research &amp; Development (R&amp;D)</c:v>
                </c:pt>
                <c:pt idx="6">
                  <c:v> Sales</c:v>
                </c:pt>
                <c:pt idx="7">
                  <c:v>Administration / Facilities</c:v>
                </c:pt>
                <c:pt idx="8">
                  <c:v>Customer Support</c:v>
                </c:pt>
                <c:pt idx="9">
                  <c:v>Finance &amp; Accounting</c:v>
                </c:pt>
                <c:pt idx="10">
                  <c:v>Human Resources (HR)</c:v>
                </c:pt>
                <c:pt idx="11">
                  <c:v>Information Technology (IT)</c:v>
                </c:pt>
                <c:pt idx="12">
                  <c:v>Product Management</c:v>
                </c:pt>
                <c:pt idx="13">
                  <c:v>Quality Assurance (QA)</c:v>
                </c:pt>
                <c:pt idx="14">
                  <c:v>Supply Chain &amp; Logistics</c:v>
                </c:pt>
              </c:strCache>
            </c:strRef>
          </c:cat>
          <c:val>
            <c:numRef>
              <c:f>Dashboard!$I$4:$I$19</c:f>
              <c:numCache>
                <c:formatCode>[$INR]\ #,##0.00</c:formatCode>
                <c:ptCount val="15"/>
                <c:pt idx="0">
                  <c:v>78760</c:v>
                </c:pt>
                <c:pt idx="1">
                  <c:v>55700</c:v>
                </c:pt>
                <c:pt idx="2">
                  <c:v>62050</c:v>
                </c:pt>
                <c:pt idx="3">
                  <c:v>84540</c:v>
                </c:pt>
                <c:pt idx="4">
                  <c:v>64140</c:v>
                </c:pt>
                <c:pt idx="5">
                  <c:v>102250</c:v>
                </c:pt>
                <c:pt idx="6">
                  <c:v>127000</c:v>
                </c:pt>
                <c:pt idx="7">
                  <c:v>97070</c:v>
                </c:pt>
                <c:pt idx="8">
                  <c:v>38150</c:v>
                </c:pt>
                <c:pt idx="9">
                  <c:v>67775</c:v>
                </c:pt>
                <c:pt idx="10">
                  <c:v>91550</c:v>
                </c:pt>
                <c:pt idx="11">
                  <c:v>51350</c:v>
                </c:pt>
                <c:pt idx="12">
                  <c:v>117900</c:v>
                </c:pt>
                <c:pt idx="13">
                  <c:v>47260</c:v>
                </c:pt>
                <c:pt idx="14">
                  <c:v>75040</c:v>
                </c:pt>
              </c:numCache>
            </c:numRef>
          </c:val>
          <c:extLst>
            <c:ext xmlns:c16="http://schemas.microsoft.com/office/drawing/2014/chart" uri="{C3380CC4-5D6E-409C-BE32-E72D297353CC}">
              <c16:uniqueId val="{00000000-5EB5-4856-B2BA-7C1A1781DA18}"/>
            </c:ext>
          </c:extLst>
        </c:ser>
        <c:dLbls>
          <c:showLegendKey val="0"/>
          <c:showVal val="0"/>
          <c:showCatName val="0"/>
          <c:showSerName val="0"/>
          <c:showPercent val="0"/>
          <c:showBubbleSize val="0"/>
        </c:dLbls>
        <c:gapWidth val="219"/>
        <c:overlap val="-27"/>
        <c:axId val="1025329327"/>
        <c:axId val="1025330767"/>
      </c:barChart>
      <c:catAx>
        <c:axId val="102532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025330767"/>
        <c:crosses val="autoZero"/>
        <c:auto val="1"/>
        <c:lblAlgn val="ctr"/>
        <c:lblOffset val="100"/>
        <c:noMultiLvlLbl val="0"/>
      </c:catAx>
      <c:valAx>
        <c:axId val="1025330767"/>
        <c:scaling>
          <c:orientation val="minMax"/>
        </c:scaling>
        <c:delete val="0"/>
        <c:axPos val="l"/>
        <c:majorGridlines>
          <c:spPr>
            <a:ln w="9525" cap="flat" cmpd="sng" algn="ctr">
              <a:solidFill>
                <a:schemeClr val="tx1">
                  <a:lumMod val="15000"/>
                  <a:lumOff val="85000"/>
                </a:schemeClr>
              </a:solidFill>
              <a:round/>
            </a:ln>
            <a:effectLst/>
          </c:spPr>
        </c:majorGridlines>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02532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674540</xdr:colOff>
      <xdr:row>5</xdr:row>
      <xdr:rowOff>74915</xdr:rowOff>
    </xdr:from>
    <xdr:to>
      <xdr:col>5</xdr:col>
      <xdr:colOff>512885</xdr:colOff>
      <xdr:row>19</xdr:row>
      <xdr:rowOff>12211</xdr:rowOff>
    </xdr:to>
    <xdr:graphicFrame macro="">
      <xdr:nvGraphicFramePr>
        <xdr:cNvPr id="2" name="Chart 1">
          <a:extLst>
            <a:ext uri="{FF2B5EF4-FFF2-40B4-BE49-F238E27FC236}">
              <a16:creationId xmlns:a16="http://schemas.microsoft.com/office/drawing/2014/main" id="{7C2A094D-B575-DF87-BBC6-131B6C756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179510</xdr:colOff>
      <xdr:row>1</xdr:row>
      <xdr:rowOff>165099</xdr:rowOff>
    </xdr:from>
    <xdr:to>
      <xdr:col>13</xdr:col>
      <xdr:colOff>176579</xdr:colOff>
      <xdr:row>14</xdr:row>
      <xdr:rowOff>149224</xdr:rowOff>
    </xdr:to>
    <mc:AlternateContent xmlns:mc="http://schemas.openxmlformats.org/markup-compatibility/2006">
      <mc:Choice xmlns:a14="http://schemas.microsoft.com/office/drawing/2010/main" Requires="a14">
        <xdr:graphicFrame macro="">
          <xdr:nvGraphicFramePr>
            <xdr:cNvPr id="5" name="net salary">
              <a:extLst>
                <a:ext uri="{FF2B5EF4-FFF2-40B4-BE49-F238E27FC236}">
                  <a16:creationId xmlns:a16="http://schemas.microsoft.com/office/drawing/2014/main" id="{B5C4B97F-0D09-447F-C11E-E749089A5E8A}"/>
                </a:ext>
              </a:extLst>
            </xdr:cNvPr>
            <xdr:cNvGraphicFramePr/>
          </xdr:nvGraphicFramePr>
          <xdr:xfrm>
            <a:off x="0" y="0"/>
            <a:ext cx="0" cy="0"/>
          </xdr:xfrm>
          <a:graphic>
            <a:graphicData uri="http://schemas.microsoft.com/office/drawing/2010/slicer">
              <sle:slicer xmlns:sle="http://schemas.microsoft.com/office/drawing/2010/slicer" name="net salary"/>
            </a:graphicData>
          </a:graphic>
        </xdr:graphicFrame>
      </mc:Choice>
      <mc:Fallback>
        <xdr:sp macro="" textlink="">
          <xdr:nvSpPr>
            <xdr:cNvPr id="0" name=""/>
            <xdr:cNvSpPr>
              <a:spLocks noTextEdit="1"/>
            </xdr:cNvSpPr>
          </xdr:nvSpPr>
          <xdr:spPr>
            <a:xfrm>
              <a:off x="9997587" y="152058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0.720931134259" createdVersion="8" refreshedVersion="8" minRefreshableVersion="3" recordCount="15" xr:uid="{F7BCB4B1-FE4A-4C42-B865-1C06ECE5116D}">
  <cacheSource type="worksheet">
    <worksheetSource ref="A1:J16" sheet="payroll"/>
  </cacheSource>
  <cacheFields count="10">
    <cacheField name="employee id" numFmtId="0">
      <sharedItems/>
    </cacheField>
    <cacheField name="employee name " numFmtId="0">
      <sharedItems/>
    </cacheField>
    <cacheField name="department" numFmtId="0">
      <sharedItems count="15">
        <s v="Human Resources (HR)"/>
        <s v="Finance &amp; Accounting"/>
        <s v="Information Technology (IT)"/>
        <s v=" Sales"/>
        <s v=" Marketing"/>
        <s v=" Operations"/>
        <s v="Customer Support"/>
        <s v=" Research &amp; Development (R&amp;D)"/>
        <s v=" Legal &amp; Compliance"/>
        <s v="Supply Chain &amp; Logistics"/>
        <s v="Product Management"/>
        <s v="Quality Assurance (QA)"/>
        <s v=" Public Relations (PR)"/>
        <s v=" Business Development"/>
        <s v="Administration / Facilities"/>
      </sharedItems>
    </cacheField>
    <cacheField name="basic salary" numFmtId="171">
      <sharedItems containsSemiMixedTypes="0" containsString="0" containsNumber="1" containsInteger="1" minValue="35000" maxValue="120000"/>
    </cacheField>
    <cacheField name="HRA " numFmtId="171">
      <sharedItems containsSemiMixedTypes="0" containsString="0" containsNumber="1" containsInteger="1" minValue="7000" maxValue="24000"/>
    </cacheField>
    <cacheField name="bonus" numFmtId="171">
      <sharedItems containsSemiMixedTypes="0" containsString="0" containsNumber="1" containsInteger="1" minValue="1500" maxValue="3000"/>
    </cacheField>
    <cacheField name="over time pay" numFmtId="171">
      <sharedItems containsSemiMixedTypes="0" containsString="0" containsNumber="1" containsInteger="1" minValue="400" maxValue="2400"/>
    </cacheField>
    <cacheField name="PF deductions" numFmtId="171">
      <sharedItems containsSemiMixedTypes="0" containsString="0" containsNumber="1" containsInteger="1" minValue="4200" maxValue="14400"/>
    </cacheField>
    <cacheField name="tax deductions" numFmtId="171">
      <sharedItems containsSemiMixedTypes="0" containsString="0" containsNumber="1" containsInteger="1" minValue="1750" maxValue="6000"/>
    </cacheField>
    <cacheField name="net salary" numFmtId="171">
      <sharedItems containsSemiMixedTypes="0" containsString="0" containsNumber="1" containsInteger="1" minValue="38150" maxValue="127000" count="15">
        <n v="91550"/>
        <n v="67775"/>
        <n v="51350"/>
        <n v="127000"/>
        <n v="62050"/>
        <n v="84540"/>
        <n v="38150"/>
        <n v="102250"/>
        <n v="55700"/>
        <n v="75040"/>
        <n v="117900"/>
        <n v="47260"/>
        <n v="64140"/>
        <n v="78760"/>
        <n v="97070"/>
      </sharedItems>
    </cacheField>
  </cacheFields>
  <extLst>
    <ext xmlns:x14="http://schemas.microsoft.com/office/spreadsheetml/2009/9/main" uri="{725AE2AE-9491-48be-B2B4-4EB974FC3084}">
      <x14:pivotCacheDefinition pivotCacheId="1180256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EMP001"/>
    <s v="RAJIV"/>
    <x v="0"/>
    <n v="85000"/>
    <n v="17000"/>
    <n v="3000"/>
    <n v="1000"/>
    <n v="10200"/>
    <n v="4250"/>
    <x v="0"/>
  </r>
  <r>
    <s v="EMP002"/>
    <s v="NAGA"/>
    <x v="1"/>
    <n v="62500"/>
    <n v="12500"/>
    <n v="3000"/>
    <n v="400"/>
    <n v="7500"/>
    <n v="3125"/>
    <x v="1"/>
  </r>
  <r>
    <s v="EMP003"/>
    <s v="WASIF"/>
    <x v="2"/>
    <n v="45000"/>
    <n v="9000"/>
    <n v="3000"/>
    <n v="2000"/>
    <n v="5400"/>
    <n v="2250"/>
    <x v="2"/>
  </r>
  <r>
    <s v="EMP004"/>
    <s v="RAJA"/>
    <x v="3"/>
    <n v="120000"/>
    <n v="24000"/>
    <n v="3000"/>
    <n v="400"/>
    <n v="14400"/>
    <n v="6000"/>
    <x v="3"/>
  </r>
  <r>
    <s v="EMP005"/>
    <s v="RAVI NAVI"/>
    <x v="4"/>
    <n v="55000"/>
    <n v="11000"/>
    <n v="3000"/>
    <n v="2400"/>
    <n v="6600"/>
    <n v="2750"/>
    <x v="4"/>
  </r>
  <r>
    <s v="EMP006"/>
    <s v="SHREE"/>
    <x v="5"/>
    <n v="78000"/>
    <n v="15600"/>
    <n v="3000"/>
    <n v="1200"/>
    <n v="9360"/>
    <n v="3900"/>
    <x v="5"/>
  </r>
  <r>
    <s v="EMP007"/>
    <s v="KALESH"/>
    <x v="6"/>
    <n v="35000"/>
    <n v="7000"/>
    <n v="1500"/>
    <n v="600"/>
    <n v="4200"/>
    <n v="1750"/>
    <x v="6"/>
  </r>
  <r>
    <s v="EMP008"/>
    <s v="KHAANI"/>
    <x v="7"/>
    <n v="95000"/>
    <n v="19000"/>
    <n v="3000"/>
    <n v="1400"/>
    <n v="11400"/>
    <n v="4750"/>
    <x v="7"/>
  </r>
  <r>
    <s v="EMP009"/>
    <s v="SHRIBA"/>
    <x v="8"/>
    <n v="50000"/>
    <n v="10000"/>
    <n v="3000"/>
    <n v="1200"/>
    <n v="6000"/>
    <n v="2500"/>
    <x v="8"/>
  </r>
  <r>
    <s v="EMP010"/>
    <s v="MEDHA"/>
    <x v="9"/>
    <n v="68000"/>
    <n v="13600"/>
    <n v="3000"/>
    <n v="2000"/>
    <n v="8160"/>
    <n v="3400"/>
    <x v="9"/>
  </r>
  <r>
    <s v="EMP011"/>
    <s v="SHRIVANI"/>
    <x v="10"/>
    <n v="110000"/>
    <n v="22000"/>
    <n v="3000"/>
    <n v="1600"/>
    <n v="13200"/>
    <n v="5500"/>
    <x v="10"/>
  </r>
  <r>
    <s v="EMP012"/>
    <s v="RAANI"/>
    <x v="11"/>
    <n v="42000"/>
    <n v="8400"/>
    <n v="3000"/>
    <n v="1000"/>
    <n v="5040"/>
    <n v="2100"/>
    <x v="11"/>
  </r>
  <r>
    <s v="EMP013"/>
    <s v="VEENA "/>
    <x v="12"/>
    <n v="58000"/>
    <n v="11600"/>
    <n v="3000"/>
    <n v="1400"/>
    <n v="6960"/>
    <n v="2900"/>
    <x v="12"/>
  </r>
  <r>
    <s v="EMP014"/>
    <s v="KAALI"/>
    <x v="13"/>
    <n v="72000"/>
    <n v="14400"/>
    <n v="3000"/>
    <n v="1600"/>
    <n v="8640"/>
    <n v="3600"/>
    <x v="13"/>
  </r>
  <r>
    <s v="EMP015"/>
    <s v="MAYUR"/>
    <x v="14"/>
    <n v="89000"/>
    <n v="17800"/>
    <n v="3000"/>
    <n v="2400"/>
    <n v="10680"/>
    <n v="4450"/>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C31C41-1075-4912-AC01-1391271CFA0C}"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19" firstHeaderRow="1" firstDataRow="1" firstDataCol="1"/>
  <pivotFields count="10">
    <pivotField showAll="0"/>
    <pivotField showAll="0"/>
    <pivotField axis="axisRow" showAll="0">
      <items count="16">
        <item x="13"/>
        <item x="8"/>
        <item x="4"/>
        <item x="5"/>
        <item x="12"/>
        <item x="7"/>
        <item x="3"/>
        <item x="14"/>
        <item x="6"/>
        <item x="1"/>
        <item x="0"/>
        <item x="2"/>
        <item x="10"/>
        <item x="11"/>
        <item x="9"/>
        <item t="default"/>
      </items>
    </pivotField>
    <pivotField numFmtId="171" showAll="0"/>
    <pivotField numFmtId="171" showAll="0"/>
    <pivotField numFmtId="171" showAll="0"/>
    <pivotField numFmtId="171" showAll="0"/>
    <pivotField numFmtId="171" showAll="0"/>
    <pivotField numFmtId="171" showAll="0"/>
    <pivotField dataField="1" numFmtId="171" showAll="0">
      <items count="16">
        <item x="6"/>
        <item x="11"/>
        <item x="2"/>
        <item x="8"/>
        <item x="4"/>
        <item x="12"/>
        <item x="1"/>
        <item x="9"/>
        <item x="13"/>
        <item x="5"/>
        <item x="0"/>
        <item x="14"/>
        <item x="7"/>
        <item x="10"/>
        <item x="3"/>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net salary" fld="9" baseField="0" baseItem="0" numFmtId="171"/>
  </dataFields>
  <formats count="2">
    <format dxfId="24">
      <pivotArea field="2" type="button" dataOnly="0" labelOnly="1" outline="0" axis="axisRow" fieldPosition="0"/>
    </format>
    <format dxfId="25">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_salary" xr10:uid="{FAA176FB-E450-4F2A-86DB-BA734E50CB78}" sourceName="net salary">
  <pivotTables>
    <pivotTable tabId="4" name="PivotTable4"/>
  </pivotTables>
  <data>
    <tabular pivotCacheId="1180256911">
      <items count="15">
        <i x="6" s="1"/>
        <i x="11" s="1"/>
        <i x="2" s="1"/>
        <i x="8" s="1"/>
        <i x="4" s="1"/>
        <i x="12" s="1"/>
        <i x="1" s="1"/>
        <i x="9" s="1"/>
        <i x="13" s="1"/>
        <i x="5" s="1"/>
        <i x="0" s="1"/>
        <i x="14" s="1"/>
        <i x="7"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t salary" xr10:uid="{3F873772-CCA7-4B5E-B8EE-7C86C7ED151B}" cache="Slicer_net_salary" caption="net salary" startItem="7"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zoomScale="80" zoomScaleNormal="80" workbookViewId="0">
      <selection activeCell="F2" sqref="F2:F16"/>
    </sheetView>
  </sheetViews>
  <sheetFormatPr defaultRowHeight="15" x14ac:dyDescent="0.25"/>
  <cols>
    <col min="1" max="1" width="12.7109375" bestFit="1" customWidth="1"/>
    <col min="2" max="2" width="16.140625" bestFit="1" customWidth="1"/>
    <col min="3" max="3" width="44.5703125" customWidth="1"/>
    <col min="4" max="4" width="37.85546875" bestFit="1" customWidth="1"/>
    <col min="5" max="5" width="18.7109375" customWidth="1"/>
    <col min="6" max="6" width="20.5703125" customWidth="1"/>
    <col min="7" max="7" width="20.28515625" customWidth="1"/>
    <col min="8" max="8" width="22.140625" customWidth="1"/>
  </cols>
  <sheetData>
    <row r="1" spans="1:8" x14ac:dyDescent="0.25">
      <c r="A1" s="2" t="s">
        <v>0</v>
      </c>
      <c r="B1" s="2" t="s">
        <v>1</v>
      </c>
      <c r="C1" s="2" t="s">
        <v>2</v>
      </c>
      <c r="D1" s="2" t="s">
        <v>3</v>
      </c>
      <c r="E1" s="2" t="s">
        <v>4</v>
      </c>
      <c r="F1" s="2" t="s">
        <v>67</v>
      </c>
      <c r="G1" s="2" t="s">
        <v>5</v>
      </c>
      <c r="H1" s="2" t="s">
        <v>6</v>
      </c>
    </row>
    <row r="2" spans="1:8" ht="18" x14ac:dyDescent="0.25">
      <c r="A2" t="s">
        <v>7</v>
      </c>
      <c r="B2" t="s">
        <v>22</v>
      </c>
      <c r="C2" s="1" t="s">
        <v>37</v>
      </c>
      <c r="D2" s="1" t="s">
        <v>52</v>
      </c>
      <c r="E2" s="3">
        <v>43831</v>
      </c>
      <c r="F2" s="6">
        <v>85000</v>
      </c>
      <c r="G2" s="4">
        <v>2544482525</v>
      </c>
      <c r="H2" s="4" t="s">
        <v>68</v>
      </c>
    </row>
    <row r="3" spans="1:8" ht="18" x14ac:dyDescent="0.25">
      <c r="A3" t="s">
        <v>8</v>
      </c>
      <c r="B3" t="s">
        <v>23</v>
      </c>
      <c r="C3" s="1" t="s">
        <v>38</v>
      </c>
      <c r="D3" s="1" t="s">
        <v>53</v>
      </c>
      <c r="E3" s="3">
        <v>43905</v>
      </c>
      <c r="F3" s="6">
        <v>62500</v>
      </c>
      <c r="G3" s="4">
        <v>2548662588</v>
      </c>
      <c r="H3" s="4" t="s">
        <v>69</v>
      </c>
    </row>
    <row r="4" spans="1:8" ht="18" x14ac:dyDescent="0.25">
      <c r="A4" t="s">
        <v>9</v>
      </c>
      <c r="B4" t="s">
        <v>24</v>
      </c>
      <c r="C4" s="1" t="s">
        <v>39</v>
      </c>
      <c r="D4" s="1" t="s">
        <v>54</v>
      </c>
      <c r="E4" s="3">
        <v>43992</v>
      </c>
      <c r="F4" s="6">
        <v>45000</v>
      </c>
      <c r="G4" s="4">
        <v>2578931456</v>
      </c>
      <c r="H4" s="4" t="s">
        <v>70</v>
      </c>
    </row>
    <row r="5" spans="1:8" ht="18" x14ac:dyDescent="0.25">
      <c r="A5" t="s">
        <v>10</v>
      </c>
      <c r="B5" t="s">
        <v>25</v>
      </c>
      <c r="C5" s="1" t="s">
        <v>40</v>
      </c>
      <c r="D5" s="1" t="s">
        <v>55</v>
      </c>
      <c r="E5" s="3">
        <v>44065</v>
      </c>
      <c r="F5" s="6">
        <v>120000</v>
      </c>
      <c r="G5" s="4">
        <v>4458976235</v>
      </c>
      <c r="H5" s="4" t="s">
        <v>71</v>
      </c>
    </row>
    <row r="6" spans="1:8" ht="18" x14ac:dyDescent="0.25">
      <c r="A6" t="s">
        <v>11</v>
      </c>
      <c r="B6" t="s">
        <v>26</v>
      </c>
      <c r="C6" s="1" t="s">
        <v>41</v>
      </c>
      <c r="D6" s="1" t="s">
        <v>56</v>
      </c>
      <c r="E6" s="3">
        <v>44140</v>
      </c>
      <c r="F6" s="6">
        <v>55000</v>
      </c>
      <c r="G6" s="4">
        <v>2458016897</v>
      </c>
      <c r="H6" s="4" t="s">
        <v>72</v>
      </c>
    </row>
    <row r="7" spans="1:8" ht="18" x14ac:dyDescent="0.25">
      <c r="A7" t="s">
        <v>12</v>
      </c>
      <c r="B7" t="s">
        <v>27</v>
      </c>
      <c r="C7" s="1" t="s">
        <v>42</v>
      </c>
      <c r="D7" s="1" t="s">
        <v>57</v>
      </c>
      <c r="E7" s="3">
        <v>44208</v>
      </c>
      <c r="F7" s="6">
        <v>78000</v>
      </c>
      <c r="G7" s="4">
        <v>1458932147</v>
      </c>
      <c r="H7" s="4" t="s">
        <v>73</v>
      </c>
    </row>
    <row r="8" spans="1:8" ht="18" x14ac:dyDescent="0.25">
      <c r="A8" t="s">
        <v>13</v>
      </c>
      <c r="B8" t="s">
        <v>28</v>
      </c>
      <c r="C8" s="1" t="s">
        <v>43</v>
      </c>
      <c r="D8" s="1" t="s">
        <v>58</v>
      </c>
      <c r="E8" s="3">
        <v>44255</v>
      </c>
      <c r="F8" s="6">
        <v>35000</v>
      </c>
      <c r="G8" s="4">
        <v>2587634954</v>
      </c>
      <c r="H8" s="4" t="s">
        <v>74</v>
      </c>
    </row>
    <row r="9" spans="1:8" ht="18" x14ac:dyDescent="0.25">
      <c r="A9" t="s">
        <v>14</v>
      </c>
      <c r="B9" t="s">
        <v>29</v>
      </c>
      <c r="C9" s="1" t="s">
        <v>44</v>
      </c>
      <c r="D9" s="1" t="s">
        <v>59</v>
      </c>
      <c r="E9" s="3">
        <v>44335</v>
      </c>
      <c r="F9" s="6">
        <v>95000</v>
      </c>
      <c r="G9" s="4">
        <v>2589675123</v>
      </c>
      <c r="H9" s="4" t="s">
        <v>75</v>
      </c>
    </row>
    <row r="10" spans="1:8" ht="18" x14ac:dyDescent="0.25">
      <c r="A10" t="s">
        <v>15</v>
      </c>
      <c r="B10" t="s">
        <v>31</v>
      </c>
      <c r="C10" s="1" t="s">
        <v>45</v>
      </c>
      <c r="D10" s="1" t="s">
        <v>60</v>
      </c>
      <c r="E10" s="3">
        <v>44380</v>
      </c>
      <c r="F10" s="6">
        <v>50000</v>
      </c>
      <c r="G10" s="4">
        <v>2548763254</v>
      </c>
      <c r="H10" s="4" t="s">
        <v>76</v>
      </c>
    </row>
    <row r="11" spans="1:8" ht="18" x14ac:dyDescent="0.25">
      <c r="A11" t="s">
        <v>16</v>
      </c>
      <c r="B11" t="s">
        <v>30</v>
      </c>
      <c r="C11" s="1" t="s">
        <v>46</v>
      </c>
      <c r="D11" s="1" t="s">
        <v>61</v>
      </c>
      <c r="E11" s="3">
        <v>44453</v>
      </c>
      <c r="F11" s="6">
        <v>68000</v>
      </c>
      <c r="G11" s="4">
        <v>2548963254</v>
      </c>
      <c r="H11" s="4" t="s">
        <v>77</v>
      </c>
    </row>
    <row r="12" spans="1:8" ht="18" x14ac:dyDescent="0.25">
      <c r="A12" t="s">
        <v>17</v>
      </c>
      <c r="B12" t="s">
        <v>32</v>
      </c>
      <c r="C12" s="1" t="s">
        <v>47</v>
      </c>
      <c r="D12" s="1" t="s">
        <v>62</v>
      </c>
      <c r="E12" s="3">
        <v>44531</v>
      </c>
      <c r="F12" s="6">
        <v>110000</v>
      </c>
      <c r="G12" s="4">
        <v>2158776958</v>
      </c>
      <c r="H12" s="4" t="s">
        <v>78</v>
      </c>
    </row>
    <row r="13" spans="1:8" ht="18" x14ac:dyDescent="0.25">
      <c r="A13" t="s">
        <v>18</v>
      </c>
      <c r="B13" t="s">
        <v>33</v>
      </c>
      <c r="C13" s="1" t="s">
        <v>48</v>
      </c>
      <c r="D13" s="1" t="s">
        <v>63</v>
      </c>
      <c r="E13" s="3">
        <v>44581</v>
      </c>
      <c r="F13" s="6">
        <v>42000</v>
      </c>
      <c r="G13" s="4">
        <v>2255896314</v>
      </c>
      <c r="H13" s="4" t="s">
        <v>79</v>
      </c>
    </row>
    <row r="14" spans="1:8" ht="18" x14ac:dyDescent="0.25">
      <c r="A14" t="s">
        <v>19</v>
      </c>
      <c r="B14" t="s">
        <v>34</v>
      </c>
      <c r="C14" s="1" t="s">
        <v>49</v>
      </c>
      <c r="D14" s="1" t="s">
        <v>64</v>
      </c>
      <c r="E14" s="3">
        <v>44631</v>
      </c>
      <c r="F14" s="6">
        <v>58000</v>
      </c>
      <c r="G14" s="4">
        <v>2032558974</v>
      </c>
      <c r="H14" s="4" t="s">
        <v>80</v>
      </c>
    </row>
    <row r="15" spans="1:8" ht="18" x14ac:dyDescent="0.25">
      <c r="A15" t="s">
        <v>20</v>
      </c>
      <c r="B15" t="s">
        <v>35</v>
      </c>
      <c r="C15" s="1" t="s">
        <v>50</v>
      </c>
      <c r="D15" s="1" t="s">
        <v>65</v>
      </c>
      <c r="E15" s="3">
        <v>44686</v>
      </c>
      <c r="F15" s="6">
        <v>72000</v>
      </c>
      <c r="G15" s="4">
        <v>2589647025</v>
      </c>
      <c r="H15" s="4" t="s">
        <v>81</v>
      </c>
    </row>
    <row r="16" spans="1:8" ht="18" x14ac:dyDescent="0.25">
      <c r="A16" t="s">
        <v>21</v>
      </c>
      <c r="B16" t="s">
        <v>36</v>
      </c>
      <c r="C16" s="1" t="s">
        <v>51</v>
      </c>
      <c r="D16" s="1" t="s">
        <v>66</v>
      </c>
      <c r="E16" s="3">
        <v>44791</v>
      </c>
      <c r="F16" s="6">
        <v>89000</v>
      </c>
      <c r="G16" s="4">
        <v>1258975663</v>
      </c>
      <c r="H16" s="4" t="s">
        <v>82</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7202-2F98-4DC3-9E63-7C01F55F839E}">
  <dimension ref="A1:F16"/>
  <sheetViews>
    <sheetView tabSelected="1" workbookViewId="0">
      <selection activeCell="B2" sqref="B2"/>
    </sheetView>
  </sheetViews>
  <sheetFormatPr defaultRowHeight="15" x14ac:dyDescent="0.25"/>
  <cols>
    <col min="1" max="1" width="15.28515625" customWidth="1"/>
    <col min="2" max="2" width="26.7109375" customWidth="1"/>
    <col min="3" max="3" width="20.5703125" customWidth="1"/>
    <col min="4" max="4" width="14" customWidth="1"/>
    <col min="5" max="5" width="24.140625" customWidth="1"/>
    <col min="6" max="6" width="18.28515625" customWidth="1"/>
  </cols>
  <sheetData>
    <row r="1" spans="1:6" x14ac:dyDescent="0.25">
      <c r="A1" s="2" t="s">
        <v>83</v>
      </c>
      <c r="B1" s="2" t="s">
        <v>84</v>
      </c>
      <c r="C1" s="2" t="s">
        <v>85</v>
      </c>
      <c r="D1" s="2" t="s">
        <v>86</v>
      </c>
      <c r="E1" s="2" t="s">
        <v>87</v>
      </c>
      <c r="F1" s="2" t="s">
        <v>88</v>
      </c>
    </row>
    <row r="2" spans="1:6" x14ac:dyDescent="0.25">
      <c r="A2" t="s">
        <v>7</v>
      </c>
      <c r="B2" t="s">
        <v>22</v>
      </c>
      <c r="C2">
        <v>26</v>
      </c>
      <c r="D2">
        <v>24</v>
      </c>
      <c r="E2">
        <f>C2-D2</f>
        <v>2</v>
      </c>
      <c r="F2">
        <v>5</v>
      </c>
    </row>
    <row r="3" spans="1:6" x14ac:dyDescent="0.25">
      <c r="A3" t="s">
        <v>8</v>
      </c>
      <c r="B3" t="str">
        <f>VLOOKUP(A3,employee_master!A:B,2,FALSE)</f>
        <v>NAGA</v>
      </c>
      <c r="C3">
        <v>26</v>
      </c>
      <c r="D3">
        <v>21</v>
      </c>
      <c r="E3">
        <f t="shared" ref="E3:E16" si="0">C3-D3</f>
        <v>5</v>
      </c>
      <c r="F3">
        <v>2</v>
      </c>
    </row>
    <row r="4" spans="1:6" x14ac:dyDescent="0.25">
      <c r="A4" t="s">
        <v>9</v>
      </c>
      <c r="B4" t="str">
        <f>VLOOKUP(A4,employee_master!A:B,2,FALSE)</f>
        <v>WASIF</v>
      </c>
      <c r="C4">
        <v>26</v>
      </c>
      <c r="D4">
        <v>26</v>
      </c>
      <c r="E4">
        <f t="shared" si="0"/>
        <v>0</v>
      </c>
      <c r="F4">
        <v>10</v>
      </c>
    </row>
    <row r="5" spans="1:6" x14ac:dyDescent="0.25">
      <c r="A5" t="s">
        <v>10</v>
      </c>
      <c r="B5" t="str">
        <f>VLOOKUP(A5,employee_master!A:B,2,FALSE)</f>
        <v>RAJA</v>
      </c>
      <c r="C5">
        <v>26</v>
      </c>
      <c r="D5">
        <v>20</v>
      </c>
      <c r="E5">
        <f t="shared" si="0"/>
        <v>6</v>
      </c>
      <c r="F5">
        <v>2</v>
      </c>
    </row>
    <row r="6" spans="1:6" x14ac:dyDescent="0.25">
      <c r="A6" t="s">
        <v>11</v>
      </c>
      <c r="B6" t="str">
        <f>VLOOKUP(A6,employee_master!A:B,2,FALSE)</f>
        <v>RAVI NAVI</v>
      </c>
      <c r="C6">
        <v>26</v>
      </c>
      <c r="D6">
        <v>22</v>
      </c>
      <c r="E6">
        <f t="shared" si="0"/>
        <v>4</v>
      </c>
      <c r="F6">
        <v>12</v>
      </c>
    </row>
    <row r="7" spans="1:6" x14ac:dyDescent="0.25">
      <c r="A7" t="s">
        <v>12</v>
      </c>
      <c r="B7" t="str">
        <f>VLOOKUP(A7,employee_master!A:B,2,FALSE)</f>
        <v>SHREE</v>
      </c>
      <c r="C7">
        <v>26</v>
      </c>
      <c r="D7">
        <v>21</v>
      </c>
      <c r="E7">
        <f t="shared" si="0"/>
        <v>5</v>
      </c>
      <c r="F7">
        <v>6</v>
      </c>
    </row>
    <row r="8" spans="1:6" x14ac:dyDescent="0.25">
      <c r="A8" t="s">
        <v>13</v>
      </c>
      <c r="B8" t="str">
        <f>VLOOKUP(A8,employee_master!A:B,2,FALSE)</f>
        <v>KALESH</v>
      </c>
      <c r="C8">
        <v>26</v>
      </c>
      <c r="D8">
        <v>22</v>
      </c>
      <c r="E8">
        <f t="shared" si="0"/>
        <v>4</v>
      </c>
      <c r="F8">
        <v>3</v>
      </c>
    </row>
    <row r="9" spans="1:6" x14ac:dyDescent="0.25">
      <c r="A9" t="s">
        <v>14</v>
      </c>
      <c r="B9" t="str">
        <f>VLOOKUP(A9,employee_master!A:B,2,FALSE)</f>
        <v>KHAANI</v>
      </c>
      <c r="C9">
        <v>26</v>
      </c>
      <c r="D9">
        <v>20</v>
      </c>
      <c r="E9">
        <f t="shared" si="0"/>
        <v>6</v>
      </c>
      <c r="F9">
        <v>7</v>
      </c>
    </row>
    <row r="10" spans="1:6" x14ac:dyDescent="0.25">
      <c r="A10" t="s">
        <v>15</v>
      </c>
      <c r="B10" t="str">
        <f>VLOOKUP(A10,employee_master!A:B,2,FALSE)</f>
        <v>SHRIBA</v>
      </c>
      <c r="C10">
        <v>26</v>
      </c>
      <c r="D10">
        <v>26</v>
      </c>
      <c r="E10">
        <f t="shared" si="0"/>
        <v>0</v>
      </c>
      <c r="F10">
        <v>6</v>
      </c>
    </row>
    <row r="11" spans="1:6" x14ac:dyDescent="0.25">
      <c r="A11" t="s">
        <v>16</v>
      </c>
      <c r="B11" t="str">
        <f>VLOOKUP(A11,employee_master!A:B,2,FALSE)</f>
        <v>MEDHA</v>
      </c>
      <c r="C11">
        <v>26</v>
      </c>
      <c r="D11">
        <v>25</v>
      </c>
      <c r="E11">
        <f t="shared" si="0"/>
        <v>1</v>
      </c>
      <c r="F11">
        <v>10</v>
      </c>
    </row>
    <row r="12" spans="1:6" x14ac:dyDescent="0.25">
      <c r="A12" t="s">
        <v>17</v>
      </c>
      <c r="B12" t="str">
        <f>VLOOKUP(A12,employee_master!A:B,2,FALSE)</f>
        <v>SHRIVANI</v>
      </c>
      <c r="C12">
        <v>26</v>
      </c>
      <c r="D12">
        <v>24</v>
      </c>
      <c r="E12">
        <f t="shared" si="0"/>
        <v>2</v>
      </c>
      <c r="F12">
        <v>8</v>
      </c>
    </row>
    <row r="13" spans="1:6" x14ac:dyDescent="0.25">
      <c r="A13" t="s">
        <v>18</v>
      </c>
      <c r="B13" t="str">
        <f>VLOOKUP(A13,employee_master!A:B,2,FALSE)</f>
        <v>RAANI</v>
      </c>
      <c r="C13">
        <v>26</v>
      </c>
      <c r="D13">
        <v>24</v>
      </c>
      <c r="E13">
        <f t="shared" si="0"/>
        <v>2</v>
      </c>
      <c r="F13">
        <v>5</v>
      </c>
    </row>
    <row r="14" spans="1:6" x14ac:dyDescent="0.25">
      <c r="A14" t="s">
        <v>19</v>
      </c>
      <c r="B14" t="str">
        <f>VLOOKUP(A14,employee_master!A:B,2,FALSE)</f>
        <v xml:space="preserve">VEENA </v>
      </c>
      <c r="C14">
        <v>26</v>
      </c>
      <c r="D14">
        <v>21</v>
      </c>
      <c r="E14">
        <f t="shared" si="0"/>
        <v>5</v>
      </c>
      <c r="F14">
        <v>7</v>
      </c>
    </row>
    <row r="15" spans="1:6" x14ac:dyDescent="0.25">
      <c r="A15" t="s">
        <v>20</v>
      </c>
      <c r="B15" t="str">
        <f>VLOOKUP(A15,employee_master!A:B,2,FALSE)</f>
        <v>KAALI</v>
      </c>
      <c r="C15">
        <v>26</v>
      </c>
      <c r="D15">
        <v>26</v>
      </c>
      <c r="E15">
        <f t="shared" si="0"/>
        <v>0</v>
      </c>
      <c r="F15">
        <v>8</v>
      </c>
    </row>
    <row r="16" spans="1:6" x14ac:dyDescent="0.25">
      <c r="A16" t="s">
        <v>21</v>
      </c>
      <c r="B16" t="str">
        <f>VLOOKUP(A16,employee_master!A:B,2,FALSE)</f>
        <v>MAYUR</v>
      </c>
      <c r="C16">
        <v>26</v>
      </c>
      <c r="D16">
        <v>25</v>
      </c>
      <c r="E16">
        <f t="shared" si="0"/>
        <v>1</v>
      </c>
      <c r="F16">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12FF-C9A7-4952-8AA4-A8842FB56F9A}">
  <dimension ref="A1:J16"/>
  <sheetViews>
    <sheetView workbookViewId="0">
      <selection activeCell="H5" sqref="H5"/>
    </sheetView>
  </sheetViews>
  <sheetFormatPr defaultRowHeight="15" x14ac:dyDescent="0.25"/>
  <cols>
    <col min="1" max="1" width="12.140625" bestFit="1" customWidth="1"/>
    <col min="2" max="3" width="22.140625" customWidth="1"/>
    <col min="4" max="4" width="16.85546875" customWidth="1"/>
    <col min="5" max="5" width="15.28515625" customWidth="1"/>
    <col min="6" max="6" width="11.7109375" bestFit="1" customWidth="1"/>
    <col min="7" max="7" width="13.42578125" bestFit="1" customWidth="1"/>
    <col min="8" max="8" width="13.7109375" bestFit="1" customWidth="1"/>
    <col min="9" max="9" width="14.28515625" bestFit="1" customWidth="1"/>
    <col min="10" max="10" width="16.5703125" customWidth="1"/>
  </cols>
  <sheetData>
    <row r="1" spans="1:10" x14ac:dyDescent="0.25">
      <c r="A1" s="2" t="s">
        <v>83</v>
      </c>
      <c r="B1" s="2" t="s">
        <v>89</v>
      </c>
      <c r="C1" s="2" t="s">
        <v>2</v>
      </c>
      <c r="D1" s="2" t="s">
        <v>67</v>
      </c>
      <c r="E1" s="2" t="s">
        <v>90</v>
      </c>
      <c r="F1" s="2" t="s">
        <v>91</v>
      </c>
      <c r="G1" s="2" t="s">
        <v>92</v>
      </c>
      <c r="H1" s="2" t="s">
        <v>93</v>
      </c>
      <c r="I1" s="2" t="s">
        <v>94</v>
      </c>
      <c r="J1" s="2" t="s">
        <v>95</v>
      </c>
    </row>
    <row r="2" spans="1:10" x14ac:dyDescent="0.25">
      <c r="A2" t="s">
        <v>7</v>
      </c>
      <c r="B2" t="str">
        <f>VLOOKUP(A2,employee_master!A:B,2,FALSE)</f>
        <v>RAJIV</v>
      </c>
      <c r="C2" t="str">
        <f>VLOOKUP(A2,employee_master!A:C,3,FALSE)</f>
        <v>Human Resources (HR)</v>
      </c>
      <c r="D2" s="5">
        <f>VLOOKUP(A2,employee_master!A:F,6,FALSE)</f>
        <v>85000</v>
      </c>
      <c r="E2" s="5">
        <f>D2*20%</f>
        <v>17000</v>
      </c>
      <c r="F2" s="5">
        <f>IF(D2&gt;=40000,3000,1500)</f>
        <v>3000</v>
      </c>
      <c r="G2" s="5">
        <f>Attendance!F2*200</f>
        <v>1000</v>
      </c>
      <c r="H2" s="5">
        <f>D2*12%</f>
        <v>10200</v>
      </c>
      <c r="I2" s="5">
        <f>D2*5%</f>
        <v>4250</v>
      </c>
      <c r="J2" s="5">
        <f>D2+E2+F2+G2-H2-I2</f>
        <v>91550</v>
      </c>
    </row>
    <row r="3" spans="1:10" x14ac:dyDescent="0.25">
      <c r="A3" t="s">
        <v>8</v>
      </c>
      <c r="B3" t="str">
        <f>VLOOKUP(A3,employee_master!A:B,2,FALSE)</f>
        <v>NAGA</v>
      </c>
      <c r="C3" t="str">
        <f>VLOOKUP(A3,employee_master!A:C,3,FALSE)</f>
        <v>Finance &amp; Accounting</v>
      </c>
      <c r="D3" s="5">
        <f>VLOOKUP(A3,employee_master!A:F,6,FALSE)</f>
        <v>62500</v>
      </c>
      <c r="E3" s="5">
        <f t="shared" ref="E3:E16" si="0">D3*20%</f>
        <v>12500</v>
      </c>
      <c r="F3" s="5">
        <f t="shared" ref="F3:F16" si="1">IF(D3&gt;=40000,3000,1500)</f>
        <v>3000</v>
      </c>
      <c r="G3" s="5">
        <f>Attendance!F3*200</f>
        <v>400</v>
      </c>
      <c r="H3" s="5">
        <f t="shared" ref="H3:H16" si="2">D3*12%</f>
        <v>7500</v>
      </c>
      <c r="I3" s="5">
        <f t="shared" ref="I3:I16" si="3">D3*5%</f>
        <v>3125</v>
      </c>
      <c r="J3" s="5">
        <f t="shared" ref="J3:J16" si="4">D3+E3+F3+G3-H3-I3</f>
        <v>67775</v>
      </c>
    </row>
    <row r="4" spans="1:10" x14ac:dyDescent="0.25">
      <c r="A4" t="s">
        <v>9</v>
      </c>
      <c r="B4" t="str">
        <f>VLOOKUP(A4,employee_master!A:B,2,FALSE)</f>
        <v>WASIF</v>
      </c>
      <c r="C4" t="str">
        <f>VLOOKUP(A4,employee_master!A:C,3,FALSE)</f>
        <v>Information Technology (IT)</v>
      </c>
      <c r="D4" s="5">
        <f>VLOOKUP(A4,employee_master!A:F,6,FALSE)</f>
        <v>45000</v>
      </c>
      <c r="E4" s="5">
        <f t="shared" si="0"/>
        <v>9000</v>
      </c>
      <c r="F4" s="5">
        <f t="shared" si="1"/>
        <v>3000</v>
      </c>
      <c r="G4" s="5">
        <f>Attendance!F4*200</f>
        <v>2000</v>
      </c>
      <c r="H4" s="5">
        <f t="shared" si="2"/>
        <v>5400</v>
      </c>
      <c r="I4" s="5">
        <f t="shared" si="3"/>
        <v>2250</v>
      </c>
      <c r="J4" s="5">
        <f t="shared" si="4"/>
        <v>51350</v>
      </c>
    </row>
    <row r="5" spans="1:10" x14ac:dyDescent="0.25">
      <c r="A5" t="s">
        <v>10</v>
      </c>
      <c r="B5" t="str">
        <f>VLOOKUP(A5,employee_master!A:B,2,FALSE)</f>
        <v>RAJA</v>
      </c>
      <c r="C5" t="str">
        <f>VLOOKUP(A5,employee_master!A:C,3,FALSE)</f>
        <v xml:space="preserve"> Sales</v>
      </c>
      <c r="D5" s="5">
        <f>VLOOKUP(A5,employee_master!A:F,6,FALSE)</f>
        <v>120000</v>
      </c>
      <c r="E5" s="5">
        <f t="shared" si="0"/>
        <v>24000</v>
      </c>
      <c r="F5" s="5">
        <f t="shared" si="1"/>
        <v>3000</v>
      </c>
      <c r="G5" s="5">
        <f>Attendance!F5*200</f>
        <v>400</v>
      </c>
      <c r="H5" s="5">
        <f t="shared" si="2"/>
        <v>14400</v>
      </c>
      <c r="I5" s="5">
        <f t="shared" si="3"/>
        <v>6000</v>
      </c>
      <c r="J5" s="5">
        <f t="shared" si="4"/>
        <v>127000</v>
      </c>
    </row>
    <row r="6" spans="1:10" x14ac:dyDescent="0.25">
      <c r="A6" t="s">
        <v>11</v>
      </c>
      <c r="B6" t="str">
        <f>VLOOKUP(A6,employee_master!A:B,2,FALSE)</f>
        <v>RAVI NAVI</v>
      </c>
      <c r="C6" t="str">
        <f>VLOOKUP(A6,employee_master!A:C,3,FALSE)</f>
        <v xml:space="preserve"> Marketing</v>
      </c>
      <c r="D6" s="5">
        <f>VLOOKUP(A6,employee_master!A:F,6,FALSE)</f>
        <v>55000</v>
      </c>
      <c r="E6" s="5">
        <f t="shared" si="0"/>
        <v>11000</v>
      </c>
      <c r="F6" s="5">
        <f t="shared" si="1"/>
        <v>3000</v>
      </c>
      <c r="G6" s="5">
        <f>Attendance!F6*200</f>
        <v>2400</v>
      </c>
      <c r="H6" s="5">
        <f t="shared" si="2"/>
        <v>6600</v>
      </c>
      <c r="I6" s="5">
        <f t="shared" si="3"/>
        <v>2750</v>
      </c>
      <c r="J6" s="5">
        <f t="shared" si="4"/>
        <v>62050</v>
      </c>
    </row>
    <row r="7" spans="1:10" x14ac:dyDescent="0.25">
      <c r="A7" t="s">
        <v>12</v>
      </c>
      <c r="B7" t="str">
        <f>VLOOKUP(A7,employee_master!A:B,2,FALSE)</f>
        <v>SHREE</v>
      </c>
      <c r="C7" t="str">
        <f>VLOOKUP(A7,employee_master!A:C,3,FALSE)</f>
        <v xml:space="preserve"> Operations</v>
      </c>
      <c r="D7" s="5">
        <f>VLOOKUP(A7,employee_master!A:F,6,FALSE)</f>
        <v>78000</v>
      </c>
      <c r="E7" s="5">
        <f t="shared" si="0"/>
        <v>15600</v>
      </c>
      <c r="F7" s="5">
        <f t="shared" si="1"/>
        <v>3000</v>
      </c>
      <c r="G7" s="5">
        <f>Attendance!F7*200</f>
        <v>1200</v>
      </c>
      <c r="H7" s="5">
        <f t="shared" si="2"/>
        <v>9360</v>
      </c>
      <c r="I7" s="5">
        <f t="shared" si="3"/>
        <v>3900</v>
      </c>
      <c r="J7" s="5">
        <f t="shared" si="4"/>
        <v>84540</v>
      </c>
    </row>
    <row r="8" spans="1:10" x14ac:dyDescent="0.25">
      <c r="A8" t="s">
        <v>13</v>
      </c>
      <c r="B8" t="str">
        <f>VLOOKUP(A8,employee_master!A:B,2,FALSE)</f>
        <v>KALESH</v>
      </c>
      <c r="C8" t="str">
        <f>VLOOKUP(A8,employee_master!A:C,3,FALSE)</f>
        <v>Customer Support</v>
      </c>
      <c r="D8" s="5">
        <f>VLOOKUP(A8,employee_master!A:F,6,FALSE)</f>
        <v>35000</v>
      </c>
      <c r="E8" s="5">
        <f t="shared" si="0"/>
        <v>7000</v>
      </c>
      <c r="F8" s="5">
        <f t="shared" si="1"/>
        <v>1500</v>
      </c>
      <c r="G8" s="5">
        <f>Attendance!F8*200</f>
        <v>600</v>
      </c>
      <c r="H8" s="5">
        <f t="shared" si="2"/>
        <v>4200</v>
      </c>
      <c r="I8" s="5">
        <f t="shared" si="3"/>
        <v>1750</v>
      </c>
      <c r="J8" s="5">
        <f t="shared" si="4"/>
        <v>38150</v>
      </c>
    </row>
    <row r="9" spans="1:10" x14ac:dyDescent="0.25">
      <c r="A9" t="s">
        <v>14</v>
      </c>
      <c r="B9" t="str">
        <f>VLOOKUP(A9,employee_master!A:B,2,FALSE)</f>
        <v>KHAANI</v>
      </c>
      <c r="C9" t="str">
        <f>VLOOKUP(A9,employee_master!A:C,3,FALSE)</f>
        <v xml:space="preserve"> Research &amp; Development (R&amp;D)</v>
      </c>
      <c r="D9" s="5">
        <f>VLOOKUP(A9,employee_master!A:F,6,FALSE)</f>
        <v>95000</v>
      </c>
      <c r="E9" s="5">
        <f t="shared" si="0"/>
        <v>19000</v>
      </c>
      <c r="F9" s="5">
        <f t="shared" si="1"/>
        <v>3000</v>
      </c>
      <c r="G9" s="5">
        <f>Attendance!F9*200</f>
        <v>1400</v>
      </c>
      <c r="H9" s="5">
        <f t="shared" si="2"/>
        <v>11400</v>
      </c>
      <c r="I9" s="5">
        <f t="shared" si="3"/>
        <v>4750</v>
      </c>
      <c r="J9" s="5">
        <f t="shared" si="4"/>
        <v>102250</v>
      </c>
    </row>
    <row r="10" spans="1:10" x14ac:dyDescent="0.25">
      <c r="A10" t="s">
        <v>15</v>
      </c>
      <c r="B10" t="str">
        <f>VLOOKUP(A10,employee_master!A:B,2,FALSE)</f>
        <v>SHRIBA</v>
      </c>
      <c r="C10" t="str">
        <f>VLOOKUP(A10,employee_master!A:C,3,FALSE)</f>
        <v xml:space="preserve"> Legal &amp; Compliance</v>
      </c>
      <c r="D10" s="5">
        <f>VLOOKUP(A10,employee_master!A:F,6,FALSE)</f>
        <v>50000</v>
      </c>
      <c r="E10" s="5">
        <f t="shared" si="0"/>
        <v>10000</v>
      </c>
      <c r="F10" s="5">
        <f t="shared" si="1"/>
        <v>3000</v>
      </c>
      <c r="G10" s="5">
        <f>Attendance!F10*200</f>
        <v>1200</v>
      </c>
      <c r="H10" s="5">
        <f t="shared" si="2"/>
        <v>6000</v>
      </c>
      <c r="I10" s="5">
        <f t="shared" si="3"/>
        <v>2500</v>
      </c>
      <c r="J10" s="5">
        <f t="shared" si="4"/>
        <v>55700</v>
      </c>
    </row>
    <row r="11" spans="1:10" x14ac:dyDescent="0.25">
      <c r="A11" t="s">
        <v>16</v>
      </c>
      <c r="B11" t="str">
        <f>VLOOKUP(A11,employee_master!A:B,2,FALSE)</f>
        <v>MEDHA</v>
      </c>
      <c r="C11" t="str">
        <f>VLOOKUP(A11,employee_master!A:C,3,FALSE)</f>
        <v>Supply Chain &amp; Logistics</v>
      </c>
      <c r="D11" s="5">
        <f>VLOOKUP(A11,employee_master!A:F,6,FALSE)</f>
        <v>68000</v>
      </c>
      <c r="E11" s="5">
        <f t="shared" si="0"/>
        <v>13600</v>
      </c>
      <c r="F11" s="5">
        <f t="shared" si="1"/>
        <v>3000</v>
      </c>
      <c r="G11" s="5">
        <f>Attendance!F11*200</f>
        <v>2000</v>
      </c>
      <c r="H11" s="5">
        <f t="shared" si="2"/>
        <v>8160</v>
      </c>
      <c r="I11" s="5">
        <f t="shared" si="3"/>
        <v>3400</v>
      </c>
      <c r="J11" s="5">
        <f t="shared" si="4"/>
        <v>75040</v>
      </c>
    </row>
    <row r="12" spans="1:10" x14ac:dyDescent="0.25">
      <c r="A12" t="s">
        <v>17</v>
      </c>
      <c r="B12" t="str">
        <f>VLOOKUP(A12,employee_master!A:B,2,FALSE)</f>
        <v>SHRIVANI</v>
      </c>
      <c r="C12" t="str">
        <f>VLOOKUP(A12,employee_master!A:C,3,FALSE)</f>
        <v>Product Management</v>
      </c>
      <c r="D12" s="5">
        <f>VLOOKUP(A12,employee_master!A:F,6,FALSE)</f>
        <v>110000</v>
      </c>
      <c r="E12" s="5">
        <f t="shared" si="0"/>
        <v>22000</v>
      </c>
      <c r="F12" s="5">
        <f t="shared" si="1"/>
        <v>3000</v>
      </c>
      <c r="G12" s="5">
        <f>Attendance!F12*200</f>
        <v>1600</v>
      </c>
      <c r="H12" s="5">
        <f t="shared" si="2"/>
        <v>13200</v>
      </c>
      <c r="I12" s="5">
        <f t="shared" si="3"/>
        <v>5500</v>
      </c>
      <c r="J12" s="5">
        <f t="shared" si="4"/>
        <v>117900</v>
      </c>
    </row>
    <row r="13" spans="1:10" x14ac:dyDescent="0.25">
      <c r="A13" t="s">
        <v>18</v>
      </c>
      <c r="B13" t="str">
        <f>VLOOKUP(A13,employee_master!A:B,2,FALSE)</f>
        <v>RAANI</v>
      </c>
      <c r="C13" t="str">
        <f>VLOOKUP(A13,employee_master!A:C,3,FALSE)</f>
        <v>Quality Assurance (QA)</v>
      </c>
      <c r="D13" s="5">
        <f>VLOOKUP(A13,employee_master!A:F,6,FALSE)</f>
        <v>42000</v>
      </c>
      <c r="E13" s="5">
        <f t="shared" si="0"/>
        <v>8400</v>
      </c>
      <c r="F13" s="5">
        <f t="shared" si="1"/>
        <v>3000</v>
      </c>
      <c r="G13" s="5">
        <f>Attendance!F13*200</f>
        <v>1000</v>
      </c>
      <c r="H13" s="5">
        <f t="shared" si="2"/>
        <v>5040</v>
      </c>
      <c r="I13" s="5">
        <f t="shared" si="3"/>
        <v>2100</v>
      </c>
      <c r="J13" s="5">
        <f t="shared" si="4"/>
        <v>47260</v>
      </c>
    </row>
    <row r="14" spans="1:10" x14ac:dyDescent="0.25">
      <c r="A14" t="s">
        <v>19</v>
      </c>
      <c r="B14" t="str">
        <f>VLOOKUP(A14,employee_master!A:B,2,FALSE)</f>
        <v xml:space="preserve">VEENA </v>
      </c>
      <c r="C14" t="str">
        <f>VLOOKUP(A14,employee_master!A:C,3,FALSE)</f>
        <v xml:space="preserve"> Public Relations (PR)</v>
      </c>
      <c r="D14" s="5">
        <f>VLOOKUP(A14,employee_master!A:F,6,FALSE)</f>
        <v>58000</v>
      </c>
      <c r="E14" s="5">
        <f t="shared" si="0"/>
        <v>11600</v>
      </c>
      <c r="F14" s="5">
        <f t="shared" si="1"/>
        <v>3000</v>
      </c>
      <c r="G14" s="5">
        <f>Attendance!F14*200</f>
        <v>1400</v>
      </c>
      <c r="H14" s="5">
        <f t="shared" si="2"/>
        <v>6960</v>
      </c>
      <c r="I14" s="5">
        <f t="shared" si="3"/>
        <v>2900</v>
      </c>
      <c r="J14" s="5">
        <f t="shared" si="4"/>
        <v>64140</v>
      </c>
    </row>
    <row r="15" spans="1:10" x14ac:dyDescent="0.25">
      <c r="A15" t="s">
        <v>20</v>
      </c>
      <c r="B15" t="str">
        <f>VLOOKUP(A15,employee_master!A:B,2,FALSE)</f>
        <v>KAALI</v>
      </c>
      <c r="C15" t="str">
        <f>VLOOKUP(A15,employee_master!A:C,3,FALSE)</f>
        <v xml:space="preserve"> Business Development</v>
      </c>
      <c r="D15" s="5">
        <f>VLOOKUP(A15,employee_master!A:F,6,FALSE)</f>
        <v>72000</v>
      </c>
      <c r="E15" s="5">
        <f t="shared" si="0"/>
        <v>14400</v>
      </c>
      <c r="F15" s="5">
        <f t="shared" si="1"/>
        <v>3000</v>
      </c>
      <c r="G15" s="5">
        <f>Attendance!F15*200</f>
        <v>1600</v>
      </c>
      <c r="H15" s="5">
        <f t="shared" si="2"/>
        <v>8640</v>
      </c>
      <c r="I15" s="5">
        <f t="shared" si="3"/>
        <v>3600</v>
      </c>
      <c r="J15" s="5">
        <f t="shared" si="4"/>
        <v>78760</v>
      </c>
    </row>
    <row r="16" spans="1:10" x14ac:dyDescent="0.25">
      <c r="A16" t="s">
        <v>21</v>
      </c>
      <c r="B16" t="str">
        <f>VLOOKUP(A16,employee_master!A:B,2,FALSE)</f>
        <v>MAYUR</v>
      </c>
      <c r="C16" t="str">
        <f>VLOOKUP(A16,employee_master!A:C,3,FALSE)</f>
        <v>Administration / Facilities</v>
      </c>
      <c r="D16" s="5">
        <f>VLOOKUP(A16,employee_master!A:F,6,FALSE)</f>
        <v>89000</v>
      </c>
      <c r="E16" s="5">
        <f t="shared" si="0"/>
        <v>17800</v>
      </c>
      <c r="F16" s="5">
        <f t="shared" si="1"/>
        <v>3000</v>
      </c>
      <c r="G16" s="5">
        <f>Attendance!F16*200</f>
        <v>2400</v>
      </c>
      <c r="H16" s="5">
        <f t="shared" si="2"/>
        <v>10680</v>
      </c>
      <c r="I16" s="5">
        <f t="shared" si="3"/>
        <v>4450</v>
      </c>
      <c r="J16" s="5">
        <f t="shared" si="4"/>
        <v>97070</v>
      </c>
    </row>
  </sheetData>
  <conditionalFormatting sqref="J2:J16">
    <cfRule type="cellIs" dxfId="31" priority="1" operator="greaterThan">
      <formula>50000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5CB6F-395B-4F1F-8AE3-C2F408D64797}">
  <dimension ref="A1:I19"/>
  <sheetViews>
    <sheetView zoomScale="78" zoomScaleNormal="78" workbookViewId="0">
      <selection activeCell="O6" sqref="O6"/>
    </sheetView>
  </sheetViews>
  <sheetFormatPr defaultRowHeight="15" x14ac:dyDescent="0.25"/>
  <cols>
    <col min="1" max="1" width="29.5703125" customWidth="1"/>
    <col min="2" max="2" width="16.28515625" customWidth="1"/>
    <col min="8" max="8" width="30.28515625" bestFit="1" customWidth="1"/>
    <col min="9" max="9" width="16.28515625" bestFit="1" customWidth="1"/>
  </cols>
  <sheetData>
    <row r="1" spans="1:9" ht="106.5" customHeight="1" x14ac:dyDescent="0.25">
      <c r="A1" s="8" t="s">
        <v>103</v>
      </c>
      <c r="B1" s="9"/>
      <c r="C1" s="9"/>
      <c r="D1" s="9"/>
      <c r="E1" s="9"/>
      <c r="F1" s="9"/>
    </row>
    <row r="2" spans="1:9" ht="15" customHeight="1" x14ac:dyDescent="0.25">
      <c r="A2" s="10" t="s">
        <v>96</v>
      </c>
      <c r="B2" s="11">
        <f>COUNTA(employee_master!A2:A16)</f>
        <v>15</v>
      </c>
    </row>
    <row r="3" spans="1:9" ht="15" customHeight="1" x14ac:dyDescent="0.25">
      <c r="A3" s="10" t="s">
        <v>97</v>
      </c>
      <c r="B3" s="11">
        <f>SUM(payroll!J2:J16)</f>
        <v>1160535</v>
      </c>
      <c r="H3" s="2" t="s">
        <v>100</v>
      </c>
      <c r="I3" s="2" t="s">
        <v>102</v>
      </c>
    </row>
    <row r="4" spans="1:9" x14ac:dyDescent="0.25">
      <c r="A4" s="10" t="s">
        <v>98</v>
      </c>
      <c r="B4" s="11">
        <f>AVERAGE(payroll!J2:J16)</f>
        <v>77369</v>
      </c>
      <c r="H4" s="7" t="s">
        <v>50</v>
      </c>
      <c r="I4" s="5">
        <v>78760</v>
      </c>
    </row>
    <row r="5" spans="1:9" x14ac:dyDescent="0.25">
      <c r="A5" s="10" t="s">
        <v>99</v>
      </c>
      <c r="B5" s="11">
        <f>MAX(payroll!J2:J16)</f>
        <v>127000</v>
      </c>
      <c r="H5" s="7" t="s">
        <v>45</v>
      </c>
      <c r="I5" s="5">
        <v>55700</v>
      </c>
    </row>
    <row r="6" spans="1:9" x14ac:dyDescent="0.25">
      <c r="H6" s="7" t="s">
        <v>41</v>
      </c>
      <c r="I6" s="5">
        <v>62050</v>
      </c>
    </row>
    <row r="7" spans="1:9" x14ac:dyDescent="0.25">
      <c r="H7" s="7" t="s">
        <v>42</v>
      </c>
      <c r="I7" s="5">
        <v>84540</v>
      </c>
    </row>
    <row r="8" spans="1:9" x14ac:dyDescent="0.25">
      <c r="H8" s="7" t="s">
        <v>49</v>
      </c>
      <c r="I8" s="5">
        <v>64140</v>
      </c>
    </row>
    <row r="9" spans="1:9" x14ac:dyDescent="0.25">
      <c r="H9" s="7" t="s">
        <v>44</v>
      </c>
      <c r="I9" s="5">
        <v>102250</v>
      </c>
    </row>
    <row r="10" spans="1:9" x14ac:dyDescent="0.25">
      <c r="H10" s="7" t="s">
        <v>40</v>
      </c>
      <c r="I10" s="5">
        <v>127000</v>
      </c>
    </row>
    <row r="11" spans="1:9" x14ac:dyDescent="0.25">
      <c r="H11" s="7" t="s">
        <v>51</v>
      </c>
      <c r="I11" s="5">
        <v>97070</v>
      </c>
    </row>
    <row r="12" spans="1:9" x14ac:dyDescent="0.25">
      <c r="H12" s="7" t="s">
        <v>43</v>
      </c>
      <c r="I12" s="5">
        <v>38150</v>
      </c>
    </row>
    <row r="13" spans="1:9" x14ac:dyDescent="0.25">
      <c r="H13" s="7" t="s">
        <v>38</v>
      </c>
      <c r="I13" s="5">
        <v>67775</v>
      </c>
    </row>
    <row r="14" spans="1:9" x14ac:dyDescent="0.25">
      <c r="H14" s="7" t="s">
        <v>37</v>
      </c>
      <c r="I14" s="5">
        <v>91550</v>
      </c>
    </row>
    <row r="15" spans="1:9" x14ac:dyDescent="0.25">
      <c r="H15" s="7" t="s">
        <v>39</v>
      </c>
      <c r="I15" s="5">
        <v>51350</v>
      </c>
    </row>
    <row r="16" spans="1:9" x14ac:dyDescent="0.25">
      <c r="H16" s="7" t="s">
        <v>47</v>
      </c>
      <c r="I16" s="5">
        <v>117900</v>
      </c>
    </row>
    <row r="17" spans="8:9" x14ac:dyDescent="0.25">
      <c r="H17" s="7" t="s">
        <v>48</v>
      </c>
      <c r="I17" s="5">
        <v>47260</v>
      </c>
    </row>
    <row r="18" spans="8:9" x14ac:dyDescent="0.25">
      <c r="H18" s="7" t="s">
        <v>46</v>
      </c>
      <c r="I18" s="5">
        <v>75040</v>
      </c>
    </row>
    <row r="19" spans="8:9" x14ac:dyDescent="0.25">
      <c r="H19" s="7" t="s">
        <v>101</v>
      </c>
      <c r="I19" s="5">
        <v>1160535</v>
      </c>
    </row>
  </sheetData>
  <mergeCells count="1">
    <mergeCell ref="A1:F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employee_master</vt:lpstr>
      <vt:lpstr>Attendance</vt:lpstr>
      <vt:lpstr>payroll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Rafia farhat</cp:lastModifiedBy>
  <dcterms:created xsi:type="dcterms:W3CDTF">2015-06-05T18:17:20Z</dcterms:created>
  <dcterms:modified xsi:type="dcterms:W3CDTF">2026-06-07T12:13:05Z</dcterms:modified>
</cp:coreProperties>
</file>